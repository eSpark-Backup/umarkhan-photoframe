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0" i="1" l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<sst xmlns="http://schemas.openxmlformats.org/spreadsheetml/2006/main" count="343" uniqueCount="248">
  <si>
    <t>#</t>
  </si>
  <si>
    <t>Item Type</t>
  </si>
  <si>
    <t>Capacitor</t>
  </si>
  <si>
    <t>Capacitors</t>
  </si>
  <si>
    <t>TVS Diode</t>
  </si>
  <si>
    <t>(TVS/ESD)</t>
  </si>
  <si>
    <t>Fuses</t>
  </si>
  <si>
    <t>FFC/FPC Connector</t>
  </si>
  <si>
    <t>Connector</t>
  </si>
  <si>
    <t>USB Connector</t>
  </si>
  <si>
    <t>Fixed Inductors</t>
  </si>
  <si>
    <t>RGB LED</t>
  </si>
  <si>
    <t>LED</t>
  </si>
  <si>
    <t>Transistor</t>
  </si>
  <si>
    <t>Mosfet</t>
  </si>
  <si>
    <t>MOSFETs</t>
  </si>
  <si>
    <t>Resistor</t>
  </si>
  <si>
    <t>Resistors</t>
  </si>
  <si>
    <t>Switch</t>
  </si>
  <si>
    <t>Toggle Switch</t>
  </si>
  <si>
    <t>IC</t>
  </si>
  <si>
    <t>Designator</t>
  </si>
  <si>
    <t>C1, C5, C9, C11</t>
  </si>
  <si>
    <t>C2, C3, C4, C10</t>
  </si>
  <si>
    <t>C6</t>
  </si>
  <si>
    <t>C7</t>
  </si>
  <si>
    <t>C8, C13</t>
  </si>
  <si>
    <t>C12</t>
  </si>
  <si>
    <t>C14</t>
  </si>
  <si>
    <t>C15, C16, C17</t>
  </si>
  <si>
    <t>C18</t>
  </si>
  <si>
    <t>C19</t>
  </si>
  <si>
    <t>C20</t>
  </si>
  <si>
    <t>C21</t>
  </si>
  <si>
    <t>C22</t>
  </si>
  <si>
    <t>C23, C24, C25, C26, C27, C28, C29, C30, C31, C32</t>
  </si>
  <si>
    <t>C33</t>
  </si>
  <si>
    <t>D1</t>
  </si>
  <si>
    <t>D2, D3, D4</t>
  </si>
  <si>
    <t>F1</t>
  </si>
  <si>
    <t>J1</t>
  </si>
  <si>
    <t>J2</t>
  </si>
  <si>
    <t>J3</t>
  </si>
  <si>
    <t>L1</t>
  </si>
  <si>
    <t>LED1_LED1, LED1_LED2, LED1_LED3, LED1_LED4, LED1_LED5, LED1_LED6, LED1_LED7, LED1_LED8, LED1_LED9, LED2_LED1, LED2_LED2, LED2_LED3, LED2_LED4, LED2_LED5, LED2_LED6, LED2_LED7, LED2_LED8, LED2_LED9, LED3_LED1, LED3_LED2, LED3_LED3, LED3_LED4, LED3_LED5, LED3_LED6, LED3_LED7, LED3_LED8, LED3_LED9, LED4_LED1, LED4_LED2, LED4_LED3, LED4_LED4, LED4_LED5, LED4_LED6, LED4_LED7, LED4_LED8, LED4_LED9, LED5_LED1, LED5_LED2, LED5_LED3, LED5_LED4, LED5_LED5, LED5_LED6, LED5_LED7, LED5_LED8, LED5_LED9, LED6_LED1, LED6_LED2, LED6_LED3, LED6_LED4, LED6_LED5, LED6_LED6, LED6_LED7, LED6_LED8, LED6_LED9, LED7_LED1, LED7_LED2, LED7_LED3, LED7_LED4, LED7_LED5, LED7_LED6, LED7_LED7, LED7_LED8, LED7_LED9, LED8_LED1, LED8_LED2, LED8_LED3, LED8_LED4, LED8_LED5, LED8_LED6, LED8_LED7, LED8_LED8, LED8_LED9, LED9_LED1, LED9_LED2, LED9_LED3, LED9_LED4, LED9_LED5, LED9_LED6, LED9_LED7, LED9_LED8, LED9_LED9, LED10_LED1, LED10_LED2, LED10_LED3, LED10_LED4, LED10_LED5, LED10_LED6, LED10_LED7, LED10_LED8, LED10_LED9, LED11_LED1, LED11_LED2, LED11_LED3, LED11_LED4, LED11_LED5, LED11_LED6, LED11_LED7, LED11_LED8, LED11_LED9, LED12_LED1, LED12_LED2, LED12_LED3, LED12_LED4, LED12_LED5, LED12_LED6, LED12_LED7, LED12_LED8, LED12_LED9, LED13_LED1, LED13_LED2, LED13_LED3, LED13_LED4, LED13_LED5, LED13_LED6, LED13_LED7, LED13_LED8, LED13_LED9, LED14_LED1, LED14_LED2, LED14_LED3, LED14_LED4, LED14_LED5, LED14_LED6, LED14_LED7, LED14_LED8, LED14_LED9, LED15_LED1, LED15_LED2, LED15_LED3, LED15_LED4, LED15_LED5, LED15_LED6, LED15_LED7, LED15_LED8, LED15_LED9, LED16_LED1, LED16_LED2, LED16_LED3, LED16_LED4, LED16_LED5, LED16_LED6, LED16_LED7, LED16_LED8, LED16_LED9, LED17_LED1, LED17_LED2, LED17_LED3, LED17_LED4, LED17_LED5, LED17_LED6, LED17_LED7, LED17_LED8, LED17_LED9, LED18_LED1, LED18_LED2, LED18_LED3, LED18_LED4, LED18_LED5, LED18_LED6, LED18_LED7, LED18_LED8, LED18_LED9, LED19_LED1, LED19_LED2, LED19_LED3, LED19_LED4, LED19_LED5, LED19_LED6, LED19_LED7, LED19_LED8, LED19_LED9, LED20_LED1, LED20_LED2, LED20_LED3, LED20_LED4, LED20_LED5, LED20_LED6, LED20_LED7, LED20_LED8, LED20_LED9, LED21_LED1, LED21_LED2, LED21_LED3, LED21_LED4, LED21_LED5, LED21_LED6, LED21_LED7, LED21_LED8, LED21_LED9, LED189</t>
  </si>
  <si>
    <t>LED224</t>
  </si>
  <si>
    <t>Q1</t>
  </si>
  <si>
    <t>Q3</t>
  </si>
  <si>
    <t>Q4</t>
  </si>
  <si>
    <t>R1, R2, R3, R7, R9, R23</t>
  </si>
  <si>
    <t>R4</t>
  </si>
  <si>
    <t>R10</t>
  </si>
  <si>
    <t>R11</t>
  </si>
  <si>
    <t>R12</t>
  </si>
  <si>
    <t>R13</t>
  </si>
  <si>
    <t>R14</t>
  </si>
  <si>
    <t>R15</t>
  </si>
  <si>
    <t>R16</t>
  </si>
  <si>
    <t>R17</t>
  </si>
  <si>
    <t>R18, R21</t>
  </si>
  <si>
    <t>R19</t>
  </si>
  <si>
    <t>R20</t>
  </si>
  <si>
    <t>R22</t>
  </si>
  <si>
    <t>R24</t>
  </si>
  <si>
    <t>SW1, SW2</t>
  </si>
  <si>
    <t>SW3</t>
  </si>
  <si>
    <t>U1</t>
  </si>
  <si>
    <t>U2</t>
  </si>
  <si>
    <t>U3</t>
  </si>
  <si>
    <t>U4</t>
  </si>
  <si>
    <t>Description</t>
  </si>
  <si>
    <t>CAP CER 10UF 25V X5R 0603</t>
  </si>
  <si>
    <t>CAP CER 0.1UF 16V X5R 0402</t>
  </si>
  <si>
    <t>50V 20nF X7R ±10% 0603 Multilayer Ceramic Capacitors MLCC - SMD/SMT ROHS</t>
  </si>
  <si>
    <t>CAP CER 1UF 25V X5R 0603</t>
  </si>
  <si>
    <t>CAP CER 0.1UF 50V X7R 0603</t>
  </si>
  <si>
    <t>CAP CER 22UF 35V X5R 0805</t>
  </si>
  <si>
    <t>CAP CER 4.7UF 50V X7R 1206</t>
  </si>
  <si>
    <t>CAP CER 10UF 10V X7R 0603</t>
  </si>
  <si>
    <t>CAP CER 390PF 50V X7R 0402</t>
  </si>
  <si>
    <t>CAP CER 10PF 100V C0G/NPO 0603</t>
  </si>
  <si>
    <t>CAP CER 2.2UF 35V X5R 0402</t>
  </si>
  <si>
    <t>CAP CER 8200PF 16V X7R 0402</t>
  </si>
  <si>
    <t>CAP CER 1000PF 16V C0G/NPO 0402</t>
  </si>
  <si>
    <t>100uF 25V ±20% SMD,D6.3xL4.5mm Aluminum Electrolytic Capacitors - SMD ROHS</t>
  </si>
  <si>
    <t>CAP CER 0.056UF 16V X7R 0402</t>
  </si>
  <si>
    <t>64.5V 44.4V 40V SMA(DO-214AC) TVS ROHS</t>
  </si>
  <si>
    <t>5A 60W 12V 3.6V 3.3V SOD-523 ESD and Surge Protection (TVS/ESD) ROHS</t>
  </si>
  <si>
    <t>50A SMD Fuse 3.15A 24V 0603 Disposable fuses ROHS</t>
  </si>
  <si>
    <t>Flip type 40P Dual-sided contacts / top and bottom connection Horizontal attachment 0.5mm SMD,P=0.5mm,Surface Mount，Right Angle FFC, FPC (Flat Flexible) Connector Assemblies ROHS</t>
  </si>
  <si>
    <t>1x6P SH 1 1mm 6 SMD,P=1mm Wire To Board / Wire To Wire Connector ROHS</t>
  </si>
  <si>
    <t>5A 1 16P Female Type-C SMD USB Connectors ROHS</t>
  </si>
  <si>
    <t>POWER INDUCTOR, SHIELDED, 20% TO</t>
  </si>
  <si>
    <t>RGB SMD5050 Light Emitting Diodes (LED) ROHS</t>
  </si>
  <si>
    <t>RED LED 0603 Light Emitting Diodes</t>
  </si>
  <si>
    <t>Trans Gp Bjt NPN 25V 1.5A 300MW 3-PIN SOT-23 T/r</t>
  </si>
  <si>
    <t>MOSFET N-CH 30V 20A/60A 8VSON</t>
  </si>
  <si>
    <t>MOSFET N-CH 30V 100A 8VSON</t>
  </si>
  <si>
    <t>RES 10K OHM 1% 1/16W 0402</t>
  </si>
  <si>
    <t>RES 560 OHM 1% 1/16W 0402</t>
  </si>
  <si>
    <t>RES 2.2 OHM 1% 1/10W 0603</t>
  </si>
  <si>
    <t>RES 2.15 OHM 1% 1/10W 0603</t>
  </si>
  <si>
    <t>RES SMD 60.4KOHM 0.1% 1/16W 0402</t>
  </si>
  <si>
    <t>RES SMD 750 OHM 1% 1/16W 0402</t>
  </si>
  <si>
    <t>RES 196 OHM 1% 1/16W 0402</t>
  </si>
  <si>
    <t>RES SMD 18K OHM 0.1% 1/16W 0402</t>
  </si>
  <si>
    <t>RES SMD 39.2KOHM 0.1% 1/16W 0402</t>
  </si>
  <si>
    <t>RES SMD 8.45KOHM 0.1% 1/10W 0603</t>
  </si>
  <si>
    <t>RES 20K OHM 1% 1/10W 0603</t>
  </si>
  <si>
    <t>RES SMD 3.4K OHM 0.1% 1/16W 0402</t>
  </si>
  <si>
    <t>RES SMD 1K OHM 1% 1/10W 0603</t>
  </si>
  <si>
    <t>RES SMD 1.37K OHM 1/16W 0402</t>
  </si>
  <si>
    <t>RES 0 OHM JUMPER 1/10W 0603</t>
  </si>
  <si>
    <t>SWITCH TACTILE SPST-NO 0.05A 12V</t>
  </si>
  <si>
    <t>125V Single Pole Double Throw (SPDT) Direct Insert 5A Plugin Toggle Switches ROHS</t>
  </si>
  <si>
    <t>RX TXRX MOD WIFI TRACE ANT SMD</t>
  </si>
  <si>
    <t>DFN-6L-EP(2x2) USB PD ROHS</t>
  </si>
  <si>
    <t>15V 1.3V @ 800mA Fixed 3.3V SOT-223 Linear Voltage Regulators (LDO) ROHS</t>
  </si>
  <si>
    <t>Buck Regulator Positive Output Step-Down DC-DC Controller IC 20-VQFN (3.5x4.5)</t>
  </si>
  <si>
    <t>Footprint</t>
  </si>
  <si>
    <t>Cap-0603</t>
  </si>
  <si>
    <t>Cap-0402</t>
  </si>
  <si>
    <t>CAP-0603</t>
  </si>
  <si>
    <t>Cap-0805</t>
  </si>
  <si>
    <t>EFVM025ADA101M0645</t>
  </si>
  <si>
    <t>SMA Bi Directional</t>
  </si>
  <si>
    <t>SOD-523 (Bi-Directional)</t>
  </si>
  <si>
    <t>Fuse-0603</t>
  </si>
  <si>
    <t>AFC24-S40FIC-00</t>
  </si>
  <si>
    <t>Voltlink Target</t>
  </si>
  <si>
    <t>TYPE-C-31-M-12_</t>
  </si>
  <si>
    <t>XAL1580-202MED</t>
  </si>
  <si>
    <t>WS2812B-B/W</t>
  </si>
  <si>
    <t>LED-0603</t>
  </si>
  <si>
    <t>SOT-23</t>
  </si>
  <si>
    <t>8-VSON-CLIP (3.3x3.3)</t>
  </si>
  <si>
    <t>PDFN-8(5x6)</t>
  </si>
  <si>
    <t>Res-0402</t>
  </si>
  <si>
    <t>Res-0603</t>
  </si>
  <si>
    <t>B3U-1000P</t>
  </si>
  <si>
    <t>MT-0-102-C003-N003-RS*</t>
  </si>
  <si>
    <t>38-SMD Module</t>
  </si>
  <si>
    <t>DFN-6L-EP(2x2)</t>
  </si>
  <si>
    <t>SOT- 223</t>
  </si>
  <si>
    <t>20-VQFN (3.5x4.5)</t>
  </si>
  <si>
    <t>Manufacturer Part Number</t>
  </si>
  <si>
    <t>GRM188R61E106KA73D</t>
  </si>
  <si>
    <t>CC0402KRX5R7BB104</t>
  </si>
  <si>
    <t>CGA0603X7R203K500JT</t>
  </si>
  <si>
    <t>CL10A105KA8NNNC</t>
  </si>
  <si>
    <t>CC0603JRX7R9BB104</t>
  </si>
  <si>
    <t>C2012X5R1V226MT000E</t>
  </si>
  <si>
    <t>CC1206KKX7R9BB475</t>
  </si>
  <si>
    <t>GRM188Z71A106KA73D</t>
  </si>
  <si>
    <t>CC0402JRX7R9BB391</t>
  </si>
  <si>
    <t>CC0603FRNPO0BN100</t>
  </si>
  <si>
    <t>C1005X5R1V225K050BC</t>
  </si>
  <si>
    <t>CC0402JRX7R7BB822</t>
  </si>
  <si>
    <t>CC0402JRNPO7BN102</t>
  </si>
  <si>
    <t>CC0402JRX7R7BB563</t>
  </si>
  <si>
    <t>SMAJ40CA</t>
  </si>
  <si>
    <t>ESD5Z3.3C</t>
  </si>
  <si>
    <t>CF06V2T3R15</t>
  </si>
  <si>
    <t>C145963</t>
  </si>
  <si>
    <t>TYPE-C-31-M-12</t>
  </si>
  <si>
    <t>NCD0603R3</t>
  </si>
  <si>
    <t>SS8050-G</t>
  </si>
  <si>
    <t>CSD17309Q3</t>
  </si>
  <si>
    <t>CSD17573Q5B</t>
  </si>
  <si>
    <t>RC0402FR-0710KL</t>
  </si>
  <si>
    <t>RC0402FR-07560RL</t>
  </si>
  <si>
    <t>RC0603FR-072R2L</t>
  </si>
  <si>
    <t>RC0603FR-072R15L</t>
  </si>
  <si>
    <t>RT0402BRD0760K4L</t>
  </si>
  <si>
    <t>RT0402FRE07750RL</t>
  </si>
  <si>
    <t>RC0402FR-07196RL</t>
  </si>
  <si>
    <t>RT0402BRD0718KL</t>
  </si>
  <si>
    <t>RT0402BRD0739K2L</t>
  </si>
  <si>
    <t>RT0603BRD078K45L</t>
  </si>
  <si>
    <t>RC0603FR-0720KL</t>
  </si>
  <si>
    <t>RT0402BRD073K4L</t>
  </si>
  <si>
    <t>RC0603FR-071KL</t>
  </si>
  <si>
    <t>RT0402CRE071K37L</t>
  </si>
  <si>
    <t>RC0603JR-070RL</t>
  </si>
  <si>
    <t>MT-0-102-C003-N003-RS</t>
  </si>
  <si>
    <t>ESP32-WROOM-32E-N16</t>
  </si>
  <si>
    <t>HUSB237-AA001-DN06R</t>
  </si>
  <si>
    <t>AZ1117CH-3.3TRG1</t>
  </si>
  <si>
    <t>LM25145RGYR</t>
  </si>
  <si>
    <t>Manufacturer</t>
  </si>
  <si>
    <t>Murata</t>
  </si>
  <si>
    <t>Yageo</t>
  </si>
  <si>
    <t>HRE</t>
  </si>
  <si>
    <t>Sams</t>
  </si>
  <si>
    <t>TDK Corporation</t>
  </si>
  <si>
    <t>TDK</t>
  </si>
  <si>
    <t>FOLLON</t>
  </si>
  <si>
    <t>MDD</t>
  </si>
  <si>
    <t>MDD(Microdiode Semiconductor)</t>
  </si>
  <si>
    <t>TA-I Tech</t>
  </si>
  <si>
    <t>JUSHUO</t>
  </si>
  <si>
    <t>BOOMELE</t>
  </si>
  <si>
    <t>Korean Hroparts Elec</t>
  </si>
  <si>
    <t>Coilcraft</t>
  </si>
  <si>
    <t>Worldsemi</t>
  </si>
  <si>
    <t>Foshan NationStar Optoelectronics</t>
  </si>
  <si>
    <t>Comchip</t>
  </si>
  <si>
    <t>Texas Instruments</t>
  </si>
  <si>
    <t>Omron</t>
  </si>
  <si>
    <t>YUEN FUNG</t>
  </si>
  <si>
    <t>Espressif Systems</t>
  </si>
  <si>
    <t>Hynetek</t>
  </si>
  <si>
    <t>Diodes Incorporated</t>
  </si>
  <si>
    <t>Comment</t>
  </si>
  <si>
    <t>10uF</t>
  </si>
  <si>
    <t>100nF</t>
  </si>
  <si>
    <t>20nF</t>
  </si>
  <si>
    <t>1uF</t>
  </si>
  <si>
    <t>0.1uF</t>
  </si>
  <si>
    <t>22uF</t>
  </si>
  <si>
    <t>4.7uF</t>
  </si>
  <si>
    <t>390pF</t>
  </si>
  <si>
    <t>10pF</t>
  </si>
  <si>
    <t>2.2uF</t>
  </si>
  <si>
    <t>8.2nF</t>
  </si>
  <si>
    <t>1nF</t>
  </si>
  <si>
    <t>100uF</t>
  </si>
  <si>
    <t>56nF</t>
  </si>
  <si>
    <t>2uH</t>
  </si>
  <si>
    <t>RED</t>
  </si>
  <si>
    <t>S8050</t>
  </si>
  <si>
    <t>10K</t>
  </si>
  <si>
    <t>560R</t>
  </si>
  <si>
    <t>2.2R</t>
  </si>
  <si>
    <t>2.15R</t>
  </si>
  <si>
    <t>60.4K</t>
  </si>
  <si>
    <t>750R</t>
  </si>
  <si>
    <t>196R</t>
  </si>
  <si>
    <t>18K</t>
  </si>
  <si>
    <t>39.2K</t>
  </si>
  <si>
    <t>8.45K</t>
  </si>
  <si>
    <t>20K</t>
  </si>
  <si>
    <t>3.4K</t>
  </si>
  <si>
    <t>1K</t>
  </si>
  <si>
    <t>1.37K</t>
  </si>
  <si>
    <t>0R</t>
  </si>
  <si>
    <t>Quantity</t>
  </si>
  <si>
    <t>#Column Name Error:'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</si>
</sst>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0"/>
  <sheetViews>
    <sheetView tabSelected="1" workbookViewId="0">
      <selection activeCell="F26" sqref="F2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70</v>
      </c>
      <c r="F2" s="5" t="s">
        <v>119</v>
      </c>
      <c r="G2" s="6" t="s">
        <v>145</v>
      </c>
      <c r="H2" s="5" t="s">
        <v>189</v>
      </c>
      <c r="I2" s="6" t="s">
        <v>213</v>
      </c>
      <c r="J2" s="5" t="s">
        <v>246</v>
      </c>
      <c r="K2" s="5" t="s">
        <v>247</v>
      </c>
    </row>
    <row r="3" spans="1:11" ht="15.75" thickBot="1" x14ac:dyDescent="0.3">
      <c r="A3" s="1"/>
      <c r="B3" s="11">
        <f>ROW(B3) - ROW($B$2)</f>
        <v>1</v>
      </c>
      <c r="C3" s="12"/>
      <c r="D3" s="7" t="s">
        <v>22</v>
      </c>
      <c r="E3" s="8" t="s">
        <v>71</v>
      </c>
      <c r="F3" s="7" t="s">
        <v>120</v>
      </c>
      <c r="G3" s="8" t="s">
        <v>146</v>
      </c>
      <c r="H3" s="7" t="s">
        <v>190</v>
      </c>
      <c r="I3" s="8" t="s">
        <v>214</v>
      </c>
      <c r="J3" s="7">
        <v>4</v>
      </c>
      <c r="K3" s="7"/>
    </row>
    <row r="4" spans="1:11" ht="15.75" thickBot="1" x14ac:dyDescent="0.3">
      <c r="A4" s="1"/>
      <c r="B4" s="11">
        <f t="shared" ref="B4:B50" si="0">ROW(B4) - ROW($B$2)</f>
        <v>2</v>
      </c>
      <c r="C4" s="13"/>
      <c r="D4" s="9" t="s">
        <v>23</v>
      </c>
      <c r="E4" s="10" t="s">
        <v>72</v>
      </c>
      <c r="F4" s="9" t="s">
        <v>121</v>
      </c>
      <c r="G4" s="10" t="s">
        <v>147</v>
      </c>
      <c r="H4" s="9" t="s">
        <v>191</v>
      </c>
      <c r="I4" s="10" t="s">
        <v>215</v>
      </c>
      <c r="J4" s="9">
        <v>4</v>
      </c>
      <c r="K4" s="9"/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24</v>
      </c>
      <c r="E5" s="8" t="s">
        <v>73</v>
      </c>
      <c r="F5" s="7" t="s">
        <v>120</v>
      </c>
      <c r="G5" s="8" t="s">
        <v>148</v>
      </c>
      <c r="H5" s="7" t="s">
        <v>192</v>
      </c>
      <c r="I5" s="8" t="s">
        <v>216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/>
      <c r="D6" s="9" t="s">
        <v>25</v>
      </c>
      <c r="E6" s="10" t="s">
        <v>74</v>
      </c>
      <c r="F6" s="9" t="s">
        <v>122</v>
      </c>
      <c r="G6" s="10" t="s">
        <v>149</v>
      </c>
      <c r="H6" s="9" t="s">
        <v>193</v>
      </c>
      <c r="I6" s="10" t="s">
        <v>217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26</v>
      </c>
      <c r="E7" s="8" t="s">
        <v>75</v>
      </c>
      <c r="F7" s="7" t="s">
        <v>120</v>
      </c>
      <c r="G7" s="8" t="s">
        <v>150</v>
      </c>
      <c r="H7" s="7" t="s">
        <v>191</v>
      </c>
      <c r="I7" s="8" t="s">
        <v>218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27</v>
      </c>
      <c r="E8" s="10" t="s">
        <v>76</v>
      </c>
      <c r="F8" s="9" t="s">
        <v>123</v>
      </c>
      <c r="G8" s="10" t="s">
        <v>151</v>
      </c>
      <c r="H8" s="9" t="s">
        <v>194</v>
      </c>
      <c r="I8" s="10" t="s">
        <v>219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28</v>
      </c>
      <c r="E9" s="8" t="s">
        <v>77</v>
      </c>
      <c r="F9" s="7" t="s">
        <v>121</v>
      </c>
      <c r="G9" s="8" t="s">
        <v>152</v>
      </c>
      <c r="H9" s="7" t="s">
        <v>191</v>
      </c>
      <c r="I9" s="8" t="s">
        <v>220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29</v>
      </c>
      <c r="E10" s="10" t="s">
        <v>78</v>
      </c>
      <c r="F10" s="9" t="s">
        <v>120</v>
      </c>
      <c r="G10" s="10" t="s">
        <v>153</v>
      </c>
      <c r="H10" s="9" t="s">
        <v>190</v>
      </c>
      <c r="I10" s="10" t="s">
        <v>214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30</v>
      </c>
      <c r="E11" s="8" t="s">
        <v>79</v>
      </c>
      <c r="F11" s="7" t="s">
        <v>121</v>
      </c>
      <c r="G11" s="8" t="s">
        <v>154</v>
      </c>
      <c r="H11" s="7" t="s">
        <v>191</v>
      </c>
      <c r="I11" s="8" t="s">
        <v>221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31</v>
      </c>
      <c r="E12" s="10" t="s">
        <v>80</v>
      </c>
      <c r="F12" s="9" t="s">
        <v>120</v>
      </c>
      <c r="G12" s="10" t="s">
        <v>155</v>
      </c>
      <c r="H12" s="9" t="s">
        <v>191</v>
      </c>
      <c r="I12" s="10" t="s">
        <v>222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32</v>
      </c>
      <c r="E13" s="8" t="s">
        <v>81</v>
      </c>
      <c r="F13" s="7" t="s">
        <v>121</v>
      </c>
      <c r="G13" s="8" t="s">
        <v>156</v>
      </c>
      <c r="H13" s="7" t="s">
        <v>195</v>
      </c>
      <c r="I13" s="8" t="s">
        <v>223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33</v>
      </c>
      <c r="E14" s="10" t="s">
        <v>82</v>
      </c>
      <c r="F14" s="9" t="s">
        <v>121</v>
      </c>
      <c r="G14" s="10" t="s">
        <v>157</v>
      </c>
      <c r="H14" s="9" t="s">
        <v>191</v>
      </c>
      <c r="I14" s="10" t="s">
        <v>224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34</v>
      </c>
      <c r="E15" s="8" t="s">
        <v>83</v>
      </c>
      <c r="F15" s="7" t="s">
        <v>121</v>
      </c>
      <c r="G15" s="8" t="s">
        <v>158</v>
      </c>
      <c r="H15" s="7" t="s">
        <v>191</v>
      </c>
      <c r="I15" s="8" t="s">
        <v>225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2</v>
      </c>
      <c r="D16" s="9" t="s">
        <v>35</v>
      </c>
      <c r="E16" s="10" t="s">
        <v>84</v>
      </c>
      <c r="F16" s="9" t="s">
        <v>124</v>
      </c>
      <c r="G16" s="10" t="s">
        <v>124</v>
      </c>
      <c r="H16" s="9" t="s">
        <v>196</v>
      </c>
      <c r="I16" s="10" t="s">
        <v>226</v>
      </c>
      <c r="J16" s="9">
        <v>10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36</v>
      </c>
      <c r="E17" s="8" t="s">
        <v>85</v>
      </c>
      <c r="F17" s="7" t="s">
        <v>121</v>
      </c>
      <c r="G17" s="8" t="s">
        <v>159</v>
      </c>
      <c r="H17" s="7" t="s">
        <v>191</v>
      </c>
      <c r="I17" s="8" t="s">
        <v>227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4</v>
      </c>
      <c r="D18" s="9" t="s">
        <v>37</v>
      </c>
      <c r="E18" s="10" t="s">
        <v>86</v>
      </c>
      <c r="F18" s="9" t="s">
        <v>125</v>
      </c>
      <c r="G18" s="10" t="s">
        <v>160</v>
      </c>
      <c r="H18" s="9" t="s">
        <v>197</v>
      </c>
      <c r="I18" s="10" t="s">
        <v>160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5</v>
      </c>
      <c r="D19" s="7" t="s">
        <v>38</v>
      </c>
      <c r="E19" s="8" t="s">
        <v>87</v>
      </c>
      <c r="F19" s="7" t="s">
        <v>126</v>
      </c>
      <c r="G19" s="8" t="s">
        <v>161</v>
      </c>
      <c r="H19" s="7" t="s">
        <v>198</v>
      </c>
      <c r="I19" s="8" t="s">
        <v>161</v>
      </c>
      <c r="J19" s="7">
        <v>3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6</v>
      </c>
      <c r="D20" s="9" t="s">
        <v>39</v>
      </c>
      <c r="E20" s="10" t="s">
        <v>88</v>
      </c>
      <c r="F20" s="9" t="s">
        <v>127</v>
      </c>
      <c r="G20" s="10" t="s">
        <v>162</v>
      </c>
      <c r="H20" s="9" t="s">
        <v>199</v>
      </c>
      <c r="I20" s="10" t="s">
        <v>162</v>
      </c>
      <c r="J20" s="9">
        <v>1</v>
      </c>
      <c r="K20" s="9"/>
    </row>
    <row r="21" spans="1:11" ht="72.75" thickBot="1" x14ac:dyDescent="0.3">
      <c r="A21" s="1"/>
      <c r="B21" s="11">
        <f>ROW(B21) - ROW($B$2)</f>
        <v>19</v>
      </c>
      <c r="C21" s="12" t="s">
        <v>7</v>
      </c>
      <c r="D21" s="7" t="s">
        <v>40</v>
      </c>
      <c r="E21" s="8" t="s">
        <v>89</v>
      </c>
      <c r="F21" s="7" t="s">
        <v>128</v>
      </c>
      <c r="G21" s="8" t="s">
        <v>128</v>
      </c>
      <c r="H21" s="7" t="s">
        <v>200</v>
      </c>
      <c r="I21" s="8" t="s">
        <v>128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8</v>
      </c>
      <c r="D22" s="9" t="s">
        <v>41</v>
      </c>
      <c r="E22" s="10" t="s">
        <v>90</v>
      </c>
      <c r="F22" s="9" t="s">
        <v>129</v>
      </c>
      <c r="G22" s="10" t="s">
        <v>163</v>
      </c>
      <c r="H22" s="9" t="s">
        <v>201</v>
      </c>
      <c r="I22" s="10" t="s">
        <v>129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9</v>
      </c>
      <c r="D23" s="7" t="s">
        <v>42</v>
      </c>
      <c r="E23" s="8" t="s">
        <v>91</v>
      </c>
      <c r="F23" s="7" t="s">
        <v>130</v>
      </c>
      <c r="G23" s="8" t="s">
        <v>164</v>
      </c>
      <c r="H23" s="7" t="s">
        <v>202</v>
      </c>
      <c r="I23" s="8" t="s">
        <v>164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9" t="s">
        <v>43</v>
      </c>
      <c r="E24" s="10" t="s">
        <v>92</v>
      </c>
      <c r="F24" s="9" t="s">
        <v>131</v>
      </c>
      <c r="G24" s="10" t="s">
        <v>131</v>
      </c>
      <c r="H24" s="9" t="s">
        <v>203</v>
      </c>
      <c r="I24" s="10" t="s">
        <v>228</v>
      </c>
      <c r="J24" s="9">
        <v>1</v>
      </c>
      <c r="K24" s="9"/>
    </row>
    <row r="25" spans="1:11" ht="409.6" thickBot="1" x14ac:dyDescent="0.3">
      <c r="A25" s="1"/>
      <c r="B25" s="11">
        <f>ROW(B25) - ROW($B$2)</f>
        <v>23</v>
      </c>
      <c r="C25" s="12" t="s">
        <v>11</v>
      </c>
      <c r="D25" s="7" t="s">
        <v>44</v>
      </c>
      <c r="E25" s="8" t="s">
        <v>93</v>
      </c>
      <c r="F25" s="7" t="s">
        <v>132</v>
      </c>
      <c r="G25" s="8" t="s">
        <v>132</v>
      </c>
      <c r="H25" s="7" t="s">
        <v>204</v>
      </c>
      <c r="I25" s="8" t="s">
        <v>132</v>
      </c>
      <c r="J25" s="7">
        <v>190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12</v>
      </c>
      <c r="D26" s="9" t="s">
        <v>45</v>
      </c>
      <c r="E26" s="10" t="s">
        <v>94</v>
      </c>
      <c r="F26" s="9" t="s">
        <v>133</v>
      </c>
      <c r="G26" s="10" t="s">
        <v>165</v>
      </c>
      <c r="H26" s="9" t="s">
        <v>205</v>
      </c>
      <c r="I26" s="10" t="s">
        <v>229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13</v>
      </c>
      <c r="D27" s="7" t="s">
        <v>46</v>
      </c>
      <c r="E27" s="8" t="s">
        <v>95</v>
      </c>
      <c r="F27" s="7" t="s">
        <v>134</v>
      </c>
      <c r="G27" s="8" t="s">
        <v>166</v>
      </c>
      <c r="H27" s="7" t="s">
        <v>206</v>
      </c>
      <c r="I27" s="8" t="s">
        <v>230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</v>
      </c>
      <c r="D28" s="9" t="s">
        <v>47</v>
      </c>
      <c r="E28" s="10" t="s">
        <v>96</v>
      </c>
      <c r="F28" s="9" t="s">
        <v>135</v>
      </c>
      <c r="G28" s="10" t="s">
        <v>167</v>
      </c>
      <c r="H28" s="9" t="s">
        <v>207</v>
      </c>
      <c r="I28" s="10" t="s">
        <v>167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15</v>
      </c>
      <c r="D29" s="7" t="s">
        <v>48</v>
      </c>
      <c r="E29" s="8" t="s">
        <v>97</v>
      </c>
      <c r="F29" s="7" t="s">
        <v>136</v>
      </c>
      <c r="G29" s="8" t="s">
        <v>168</v>
      </c>
      <c r="H29" s="7" t="s">
        <v>207</v>
      </c>
      <c r="I29" s="8" t="s">
        <v>168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16</v>
      </c>
      <c r="D30" s="9" t="s">
        <v>49</v>
      </c>
      <c r="E30" s="10" t="s">
        <v>98</v>
      </c>
      <c r="F30" s="9" t="s">
        <v>137</v>
      </c>
      <c r="G30" s="10" t="s">
        <v>169</v>
      </c>
      <c r="H30" s="9" t="s">
        <v>191</v>
      </c>
      <c r="I30" s="10" t="s">
        <v>231</v>
      </c>
      <c r="J30" s="9">
        <v>6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16</v>
      </c>
      <c r="D31" s="7" t="s">
        <v>50</v>
      </c>
      <c r="E31" s="8" t="s">
        <v>99</v>
      </c>
      <c r="F31" s="7" t="s">
        <v>137</v>
      </c>
      <c r="G31" s="8" t="s">
        <v>170</v>
      </c>
      <c r="H31" s="7" t="s">
        <v>191</v>
      </c>
      <c r="I31" s="8" t="s">
        <v>232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17</v>
      </c>
      <c r="D32" s="9" t="s">
        <v>51</v>
      </c>
      <c r="E32" s="10" t="s">
        <v>100</v>
      </c>
      <c r="F32" s="9" t="s">
        <v>138</v>
      </c>
      <c r="G32" s="10" t="s">
        <v>171</v>
      </c>
      <c r="H32" s="9" t="s">
        <v>191</v>
      </c>
      <c r="I32" s="10" t="s">
        <v>233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16</v>
      </c>
      <c r="D33" s="7" t="s">
        <v>52</v>
      </c>
      <c r="E33" s="8" t="s">
        <v>101</v>
      </c>
      <c r="F33" s="7" t="s">
        <v>138</v>
      </c>
      <c r="G33" s="8" t="s">
        <v>172</v>
      </c>
      <c r="H33" s="7" t="s">
        <v>191</v>
      </c>
      <c r="I33" s="8" t="s">
        <v>234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17</v>
      </c>
      <c r="D34" s="9" t="s">
        <v>53</v>
      </c>
      <c r="E34" s="10" t="s">
        <v>102</v>
      </c>
      <c r="F34" s="9" t="s">
        <v>137</v>
      </c>
      <c r="G34" s="10" t="s">
        <v>173</v>
      </c>
      <c r="H34" s="9" t="s">
        <v>191</v>
      </c>
      <c r="I34" s="10" t="s">
        <v>235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17</v>
      </c>
      <c r="D35" s="7" t="s">
        <v>54</v>
      </c>
      <c r="E35" s="8" t="s">
        <v>103</v>
      </c>
      <c r="F35" s="7" t="s">
        <v>137</v>
      </c>
      <c r="G35" s="8" t="s">
        <v>174</v>
      </c>
      <c r="H35" s="7" t="s">
        <v>191</v>
      </c>
      <c r="I35" s="8" t="s">
        <v>236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17</v>
      </c>
      <c r="D36" s="9" t="s">
        <v>55</v>
      </c>
      <c r="E36" s="10" t="s">
        <v>104</v>
      </c>
      <c r="F36" s="9" t="s">
        <v>137</v>
      </c>
      <c r="G36" s="10" t="s">
        <v>175</v>
      </c>
      <c r="H36" s="9" t="s">
        <v>191</v>
      </c>
      <c r="I36" s="10" t="s">
        <v>237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16</v>
      </c>
      <c r="D37" s="7" t="s">
        <v>56</v>
      </c>
      <c r="E37" s="8" t="s">
        <v>105</v>
      </c>
      <c r="F37" s="7" t="s">
        <v>137</v>
      </c>
      <c r="G37" s="8" t="s">
        <v>176</v>
      </c>
      <c r="H37" s="7" t="s">
        <v>191</v>
      </c>
      <c r="I37" s="8" t="s">
        <v>238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17</v>
      </c>
      <c r="D38" s="9" t="s">
        <v>57</v>
      </c>
      <c r="E38" s="10" t="s">
        <v>106</v>
      </c>
      <c r="F38" s="9" t="s">
        <v>137</v>
      </c>
      <c r="G38" s="10" t="s">
        <v>177</v>
      </c>
      <c r="H38" s="9" t="s">
        <v>191</v>
      </c>
      <c r="I38" s="10" t="s">
        <v>239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16</v>
      </c>
      <c r="D39" s="7" t="s">
        <v>58</v>
      </c>
      <c r="E39" s="8" t="s">
        <v>107</v>
      </c>
      <c r="F39" s="7" t="s">
        <v>138</v>
      </c>
      <c r="G39" s="8" t="s">
        <v>178</v>
      </c>
      <c r="H39" s="7" t="s">
        <v>191</v>
      </c>
      <c r="I39" s="8" t="s">
        <v>240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16</v>
      </c>
      <c r="D40" s="9" t="s">
        <v>59</v>
      </c>
      <c r="E40" s="10" t="s">
        <v>108</v>
      </c>
      <c r="F40" s="9" t="s">
        <v>138</v>
      </c>
      <c r="G40" s="10" t="s">
        <v>179</v>
      </c>
      <c r="H40" s="9" t="s">
        <v>191</v>
      </c>
      <c r="I40" s="10" t="s">
        <v>241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17</v>
      </c>
      <c r="D41" s="7" t="s">
        <v>60</v>
      </c>
      <c r="E41" s="8" t="s">
        <v>109</v>
      </c>
      <c r="F41" s="7" t="s">
        <v>137</v>
      </c>
      <c r="G41" s="8" t="s">
        <v>180</v>
      </c>
      <c r="H41" s="7" t="s">
        <v>191</v>
      </c>
      <c r="I41" s="8" t="s">
        <v>242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16</v>
      </c>
      <c r="D42" s="9" t="s">
        <v>61</v>
      </c>
      <c r="E42" s="10" t="s">
        <v>110</v>
      </c>
      <c r="F42" s="9" t="s">
        <v>138</v>
      </c>
      <c r="G42" s="10" t="s">
        <v>181</v>
      </c>
      <c r="H42" s="9" t="s">
        <v>191</v>
      </c>
      <c r="I42" s="10" t="s">
        <v>243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17</v>
      </c>
      <c r="D43" s="7" t="s">
        <v>62</v>
      </c>
      <c r="E43" s="8" t="s">
        <v>111</v>
      </c>
      <c r="F43" s="7" t="s">
        <v>137</v>
      </c>
      <c r="G43" s="8" t="s">
        <v>182</v>
      </c>
      <c r="H43" s="7" t="s">
        <v>191</v>
      </c>
      <c r="I43" s="8" t="s">
        <v>244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16</v>
      </c>
      <c r="D44" s="9" t="s">
        <v>63</v>
      </c>
      <c r="E44" s="10" t="s">
        <v>112</v>
      </c>
      <c r="F44" s="9" t="s">
        <v>138</v>
      </c>
      <c r="G44" s="10" t="s">
        <v>183</v>
      </c>
      <c r="H44" s="9" t="s">
        <v>191</v>
      </c>
      <c r="I44" s="10" t="s">
        <v>245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18</v>
      </c>
      <c r="D45" s="7" t="s">
        <v>64</v>
      </c>
      <c r="E45" s="8" t="s">
        <v>113</v>
      </c>
      <c r="F45" s="7" t="s">
        <v>139</v>
      </c>
      <c r="G45" s="8" t="s">
        <v>139</v>
      </c>
      <c r="H45" s="7" t="s">
        <v>208</v>
      </c>
      <c r="I45" s="8" t="s">
        <v>139</v>
      </c>
      <c r="J45" s="7">
        <v>2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19</v>
      </c>
      <c r="D46" s="9" t="s">
        <v>65</v>
      </c>
      <c r="E46" s="10" t="s">
        <v>114</v>
      </c>
      <c r="F46" s="9" t="s">
        <v>140</v>
      </c>
      <c r="G46" s="10" t="s">
        <v>184</v>
      </c>
      <c r="H46" s="9" t="s">
        <v>209</v>
      </c>
      <c r="I46" s="10" t="s">
        <v>184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20</v>
      </c>
      <c r="D47" s="7" t="s">
        <v>66</v>
      </c>
      <c r="E47" s="8" t="s">
        <v>115</v>
      </c>
      <c r="F47" s="7" t="s">
        <v>141</v>
      </c>
      <c r="G47" s="8" t="s">
        <v>185</v>
      </c>
      <c r="H47" s="7" t="s">
        <v>210</v>
      </c>
      <c r="I47" s="8" t="s">
        <v>185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20</v>
      </c>
      <c r="D48" s="9" t="s">
        <v>67</v>
      </c>
      <c r="E48" s="10" t="s">
        <v>116</v>
      </c>
      <c r="F48" s="9" t="s">
        <v>142</v>
      </c>
      <c r="G48" s="10" t="s">
        <v>186</v>
      </c>
      <c r="H48" s="9" t="s">
        <v>211</v>
      </c>
      <c r="I48" s="10" t="s">
        <v>186</v>
      </c>
      <c r="J48" s="9">
        <v>1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20</v>
      </c>
      <c r="D49" s="7" t="s">
        <v>68</v>
      </c>
      <c r="E49" s="8" t="s">
        <v>117</v>
      </c>
      <c r="F49" s="7" t="s">
        <v>143</v>
      </c>
      <c r="G49" s="8" t="s">
        <v>187</v>
      </c>
      <c r="H49" s="7" t="s">
        <v>212</v>
      </c>
      <c r="I49" s="8" t="s">
        <v>187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20</v>
      </c>
      <c r="D50" s="9" t="s">
        <v>69</v>
      </c>
      <c r="E50" s="10" t="s">
        <v>118</v>
      </c>
      <c r="F50" s="9" t="s">
        <v>144</v>
      </c>
      <c r="G50" s="10" t="s">
        <v>188</v>
      </c>
      <c r="H50" s="9" t="s">
        <v>207</v>
      </c>
      <c r="I50" s="10" t="s">
        <v>188</v>
      </c>
      <c r="J50" s="9">
        <v>1</v>
      </c>
      <c r="K5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2025-07-02T14:12:44Z</dcterms:modified>
</cp:coreProperties>
</file>