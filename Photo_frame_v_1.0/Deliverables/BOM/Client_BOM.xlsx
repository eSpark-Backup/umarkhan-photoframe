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<sst xmlns="http://schemas.openxmlformats.org/spreadsheetml/2006/main" count="295" uniqueCount="219">
  <si>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</si>
  <si>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</si>
  <si>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</si>
  <si>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</si>
  <si>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</si>
  <si>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</si>
  <si>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</si>
  <si>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</si>
  <si>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</si>
  <si>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Remarks</t>
  </si>
  <si>
    <t>Capacitor</t>
  </si>
  <si>
    <t>C2, C3, C4, C10, C19</t>
  </si>
  <si>
    <t>CAP CER 0.1UF 16V X5R 0402, CAP 0402 50V 100 NF X7R</t>
  </si>
  <si>
    <t>Cap-0402</t>
  </si>
  <si>
    <t>CC0402KRX5R7BB104</t>
  </si>
  <si>
    <t>Yageo</t>
  </si>
  <si>
    <t>100nF</t>
  </si>
  <si>
    <t>C1,C5, C9, C11, C25, C26, C27</t>
  </si>
  <si>
    <t>CAP CER 10UF 25V X5R 0603</t>
  </si>
  <si>
    <t>Cap-0603</t>
  </si>
  <si>
    <t>GRM188R61E106KA73D</t>
  </si>
  <si>
    <t>Murata</t>
  </si>
  <si>
    <t>10uF</t>
  </si>
  <si>
    <t>C6</t>
  </si>
  <si>
    <t>50V 20nF X7R ±10% 0603 Multilayer Ceramic Capacitors MLCC - SMD/SMT ROHS</t>
  </si>
  <si>
    <t>CGA0603X7R203K500JT</t>
  </si>
  <si>
    <t>HRE</t>
  </si>
  <si>
    <t>20nF</t>
  </si>
  <si>
    <t>C7</t>
  </si>
  <si>
    <t>CAP CER 1UF 25V X5R 0603</t>
  </si>
  <si>
    <t>CAP-0603</t>
  </si>
  <si>
    <t>CL10A105KA8NNNC</t>
  </si>
  <si>
    <t>Sams</t>
  </si>
  <si>
    <t>1uF</t>
  </si>
  <si>
    <t>C12, C13, C14, C15, C16</t>
  </si>
  <si>
    <t>CAP CER 22UF 35V X5R 0805</t>
  </si>
  <si>
    <t>Cap-0805</t>
  </si>
  <si>
    <t>C2012X5R1V226MT000E</t>
  </si>
  <si>
    <t>TDK Corporation</t>
  </si>
  <si>
    <t>22uF</t>
  </si>
  <si>
    <t>C17</t>
  </si>
  <si>
    <t>CAP CER 2.2nF 50V X7R ±5% 0402 MLCC - SMD/SMT ROHS</t>
  </si>
  <si>
    <t>04025C222JAT2A</t>
  </si>
  <si>
    <t>Kyocera AVX</t>
  </si>
  <si>
    <t>2.2nF</t>
  </si>
  <si>
    <t>C18, C29</t>
  </si>
  <si>
    <t>CAP CER 2.2UF 25V X5R 0603</t>
  </si>
  <si>
    <t>CC0603KRX5R8BB225</t>
  </si>
  <si>
    <t>2.2uF</t>
  </si>
  <si>
    <t>Capacitors</t>
  </si>
  <si>
    <t>C20, C21, C22, C23, C24</t>
  </si>
  <si>
    <t>CAP TANT 68UF 10% 16V 2312</t>
  </si>
  <si>
    <t>Case-C</t>
  </si>
  <si>
    <t>TAJC686K016RNJ</t>
  </si>
  <si>
    <t>68uF</t>
  </si>
  <si>
    <t>C28</t>
  </si>
  <si>
    <t>CAP CER 470PF 50V X7R 0603</t>
  </si>
  <si>
    <t>CC0603KPX7R9BB471</t>
  </si>
  <si>
    <t>470pF</t>
  </si>
  <si>
    <t>TVS Diode</t>
  </si>
  <si>
    <t>D1</t>
  </si>
  <si>
    <t>64.5V 44.4V 40V SMA(DO-214AC) TVS ROHS</t>
  </si>
  <si>
    <t>SMA Bi Directional</t>
  </si>
  <si>
    <t>SMAJ40CA</t>
  </si>
  <si>
    <t>MDD</t>
  </si>
  <si>
    <t>-</t>
  </si>
  <si>
    <t>(TVS/ESD)</t>
  </si>
  <si>
    <t>D2, D3, D4</t>
  </si>
  <si>
    <t>5A 60W 12V 3.6V 3.3V SOD-523 ESD and Surge Protection (TVS/ESD) ROHS</t>
  </si>
  <si>
    <t>SOD-523 (Bi-Directional)</t>
  </si>
  <si>
    <t>ESD5Z3.3C</t>
  </si>
  <si>
    <t>MDD(Microdiode Semiconductor)</t>
  </si>
  <si>
    <t>Fuses</t>
  </si>
  <si>
    <t>F1</t>
  </si>
  <si>
    <t>50A SMD Fuse 3.15A 24V 0603 Disposable fuses ROHS</t>
  </si>
  <si>
    <t>Fuse-0603</t>
  </si>
  <si>
    <t>CF06V2T3R15</t>
  </si>
  <si>
    <t>TA-I Tech</t>
  </si>
  <si>
    <t>FFC/FPC Connector</t>
  </si>
  <si>
    <t>J1</t>
  </si>
  <si>
    <t>Flip type 40P Dual-sided contacts / top and bottom connection Horizontal attachment 0.5mm SMD,P=0.5mm,Surface Mount，Right Angle FFC, FPC (Flat Flexible) Connector Assemblies ROHS</t>
  </si>
  <si>
    <t>Custom</t>
  </si>
  <si>
    <t>AFC24-S40FIC-00</t>
  </si>
  <si>
    <t>JUSHUO</t>
  </si>
  <si>
    <t>Connector</t>
  </si>
  <si>
    <t>J2</t>
  </si>
  <si>
    <t>1x6P SH 1 1mm 6 SMD,P=1mm Wire To Board / Wire To Wire Connector ROHS</t>
  </si>
  <si>
    <t>C145963</t>
  </si>
  <si>
    <t>BOOMELE</t>
  </si>
  <si>
    <t>USB Connector</t>
  </si>
  <si>
    <t>J3</t>
  </si>
  <si>
    <t>5A 1 16P Female Type-C SMD USB Connectors ROHS</t>
  </si>
  <si>
    <t>TYPE-C-31-M-12</t>
  </si>
  <si>
    <t>Korean Hroparts Elec</t>
  </si>
  <si>
    <t>Inductor</t>
  </si>
  <si>
    <t>L1</t>
  </si>
  <si>
    <t>22A 2.2uH ±20% SMD Power Inductors ROHS</t>
  </si>
  <si>
    <t>BCIH1367-2R2M</t>
  </si>
  <si>
    <t>BC(Bao Cheng Elec)</t>
  </si>
  <si>
    <t>2.2uH</t>
  </si>
  <si>
    <t>RGB LED</t>
  </si>
  <si>
    <t>LED1_LED1, LED1_LED2, LED1_LED3, LED1_LED4, LED1_LED5, LED1_LED6, LED1_LED7, LED1_LED8, LED1_LED9, LED2_LED1, LED2_LED2, LED2_LED3, LED2_LED4, LED2_LED5, LED2_LED6, LED2_LED7, LED2_LED8, LED2_LED9, LED3_LED1, LED3_LED2, LED3_LED3, LED3_LED4, LED3_LED5, LED3_LED6, LED3_LED7, LED3_LED8, LED3_LED9, LED4_LED1, LED4_LED2, LED4_LED3, LED4_LED4, LED4_LED5, LED4_LED6, LED4_LED7, LED4_LED8, LED4_LED9, LED5_LED1, LED5_LED2, LED5_LED3, LED5_LED4, LED5_LED5, LED5_LED6, LED5_LED7, LED5_LED8, LED5_LED9, LED6_LED1, LED6_LED2, LED6_LED3, LED6_LED4, LED6_LED5, LED6_LED6, LED6_LED7, LED6_LED8, LED6_LED9, LED7_LED1, LED7_LED2, LED7_LED3, LED7_LED4, LED7_LED5, LED7_LED6, LED7_LED7, LED7_LED8, LED7_LED9, LED8_LED1, LED8_LED2, LED8_LED3, LED8_LED4, LED8_LED5, LED8_LED6, LED8_LED7, LED8_LED8, LED8_LED9, LED9_LED1, LED9_LED2, LED9_LED3, LED9_LED4, LED9_LED5, LED9_LED6, LED9_LED7, LED9_LED8, LED9_LED9, LED10_LED1, LED10_LED2, LED10_LED3, LED10_LED4, LED10_LED5, LED10_LED6, LED10_LED7, LED10_LED8, LED10_LED9, LED11_LED1, LED11_LED2, LED11_LED3, LED11_LED4, LED11_LED5, LED11_LED6, LED11_LED7, LED11_LED8, LED11_LED9, LED12_LED1, LED12_LED2, LED12_LED3, LED12_LED4, LED12_LED5, LED12_LED6, LED12_LED7, LED12_LED8, LED12_LED9, LED13_LED1, LED13_LED2, LED13_LED3, LED13_LED4, LED13_LED5, LED13_LED6, LED13_LED7, LED13_LED8, LED13_LED9, LED14_LED1, LED14_LED2, LED14_LED3, LED14_LED4, LED14_LED5, LED14_LED6, LED14_LED7, LED14_LED8, LED14_LED9, LED15_LED1, LED15_LED2, LED15_LED3, LED15_LED4, LED15_LED5, LED15_LED6, LED15_LED7, LED15_LED8, LED15_LED9, LED16_LED1, LED16_LED2, LED16_LED3, LED16_LED4, LED16_LED5, LED16_LED6, LED16_LED7, LED16_LED8, LED16_LED9, LED17_LED1, LED17_LED2, LED17_LED3, LED17_LED4, LED17_LED5, LED17_LED6, LED17_LED7, LED17_LED8, LED17_LED9, LED18_LED1, LED18_LED2, LED18_LED3, LED18_LED4, LED18_LED5, LED18_LED6, LED18_LED7, LED18_LED8, LED18_LED9, LED19_LED1, LED19_LED2, LED19_LED3, LED19_LED4, LED19_LED5, LED19_LED6, LED19_LED7, LED19_LED8, LED19_LED9, LED20_LED1, LED20_LED2, LED20_LED3, LED20_LED4, LED20_LED5, LED20_LED6, LED20_LED7, LED20_LED8, LED20_LED9, LED21_LED1, LED21_LED2, LED21_LED3, LED21_LED4, LED21_LED5, LED21_LED6, LED21_LED7, LED21_LED8, LED21_LED9, LED189</t>
  </si>
  <si>
    <t>RGB SMD5050 Light Emitting Diodes (LED) ROHS</t>
  </si>
  <si>
    <t>WS2812B-B/W</t>
  </si>
  <si>
    <t>Worldsemi</t>
  </si>
  <si>
    <t>LED</t>
  </si>
  <si>
    <t>LED224</t>
  </si>
  <si>
    <t>RED LED 0603 Light Emitting Diodes</t>
  </si>
  <si>
    <t>LED-0603</t>
  </si>
  <si>
    <t>NCD0603R3</t>
  </si>
  <si>
    <t>Foshan NationStar Optoelectronics</t>
  </si>
  <si>
    <t>Transistor</t>
  </si>
  <si>
    <t>Q1</t>
  </si>
  <si>
    <t>Trans Gp Bjt NPN 25V 1.5A 300MW 3-PIN SOT-23 T/r</t>
  </si>
  <si>
    <t>SOT-23</t>
  </si>
  <si>
    <t>SS8050-G</t>
  </si>
  <si>
    <t>Comchip</t>
  </si>
  <si>
    <t>Mosfet</t>
  </si>
  <si>
    <t>Q2</t>
  </si>
  <si>
    <t>N-CHANNEL 20-V (D-S) MOSFET</t>
  </si>
  <si>
    <t>Sot-23</t>
  </si>
  <si>
    <t>SI2302CDS</t>
  </si>
  <si>
    <t>TECH PUBLIC</t>
  </si>
  <si>
    <t>Resistor</t>
  </si>
  <si>
    <t>R1, R2, R3, R5, R6, R7, R9, R12, R16, R23</t>
  </si>
  <si>
    <t>RES 10K OHM 1% 1/16W 0402</t>
  </si>
  <si>
    <t>Res-0402</t>
  </si>
  <si>
    <t>RC0402FR-0710KL</t>
  </si>
  <si>
    <t>10K</t>
  </si>
  <si>
    <t>R4</t>
  </si>
  <si>
    <t>RES 560 OHM 1% 1/16W 0402</t>
  </si>
  <si>
    <t>RC0402FR-07560RL</t>
  </si>
  <si>
    <t>560R</t>
  </si>
  <si>
    <t>R8, R20</t>
  </si>
  <si>
    <t>RES SMD 1K OHM 1% 1/10W 0603, RES SMD 1K OHM 0.5% 1/10W 0603</t>
  </si>
  <si>
    <t>Res-0603</t>
  </si>
  <si>
    <t>RC0603FR-071KL</t>
  </si>
  <si>
    <t>1K</t>
  </si>
  <si>
    <t>Resistors</t>
  </si>
  <si>
    <t>R10</t>
  </si>
  <si>
    <t>RES 2.2 OHM 1% 1/10W 0603</t>
  </si>
  <si>
    <t>RC0603FR-072R2L</t>
  </si>
  <si>
    <t>2.2R</t>
  </si>
  <si>
    <t>R11</t>
  </si>
  <si>
    <t>RES 51K OHM 1% 1/10W 0603</t>
  </si>
  <si>
    <t>RC0603FR-0751KL</t>
  </si>
  <si>
    <t>51K</t>
  </si>
  <si>
    <t>R13</t>
  </si>
  <si>
    <t>RES 0 OHM JUMPER 1/10W 0603</t>
  </si>
  <si>
    <t>RC0603JR-070RL</t>
  </si>
  <si>
    <t>0R</t>
  </si>
  <si>
    <t>R14</t>
  </si>
  <si>
    <t>RES SMD 73.2KOHM 0.1% 1/10W 0603</t>
  </si>
  <si>
    <t>RT0603BRD0773K2L</t>
  </si>
  <si>
    <t>73.2K</t>
  </si>
  <si>
    <t>R15</t>
  </si>
  <si>
    <t>250mW 200V ±1% 3.01Ω 1206 Chip Resistor - Surface Mount ROHS</t>
  </si>
  <si>
    <t>Res-1206</t>
  </si>
  <si>
    <t>CR1206F43R01G</t>
  </si>
  <si>
    <t>LIZ Elec</t>
  </si>
  <si>
    <t>3.01R</t>
  </si>
  <si>
    <t>R17, R19</t>
  </si>
  <si>
    <t>RES 150K OHM 1% 1/10W 0603</t>
  </si>
  <si>
    <t>CRCW0603150KFKEA</t>
  </si>
  <si>
    <t>Vishay</t>
  </si>
  <si>
    <t>150K</t>
  </si>
  <si>
    <t>R18</t>
  </si>
  <si>
    <t>RES 53.6K OHM 1% 1/10W 0603</t>
  </si>
  <si>
    <t>RC0603FR-0753K6L</t>
  </si>
  <si>
    <t>53.6K</t>
  </si>
  <si>
    <t>R21</t>
  </si>
  <si>
    <t>62.5mW Thick Film Resistors 50V ±100ppm/℃ ±1% 249kΩ 0402 Chip Resistor - Surface Mount ROHS</t>
  </si>
  <si>
    <t>0402WGF2493TCE</t>
  </si>
  <si>
    <t>Royal Electronic Factory</t>
  </si>
  <si>
    <t>249K</t>
  </si>
  <si>
    <t>R22</t>
  </si>
  <si>
    <t>RES SMD 44.2K OHM 1% 1/10W 0603</t>
  </si>
  <si>
    <t>CRCW060344K2FKEA</t>
  </si>
  <si>
    <t>44.2K</t>
  </si>
  <si>
    <t>Switch</t>
  </si>
  <si>
    <t>SW1, SW2</t>
  </si>
  <si>
    <t>SWITCH TACTILE SPST-NO 0.05A 12V</t>
  </si>
  <si>
    <t>B3U-1000P</t>
  </si>
  <si>
    <t>Omron</t>
  </si>
  <si>
    <t>Toggle Switch</t>
  </si>
  <si>
    <t>SW3</t>
  </si>
  <si>
    <t>125V Single Pole Double Throw (SPDT) Direct Insert 5A Plugin Toggle Switches ROHS</t>
  </si>
  <si>
    <t>MT-0-102-C003-N003-RS</t>
  </si>
  <si>
    <t>YUEN FUNG</t>
  </si>
  <si>
    <t>SW4</t>
  </si>
  <si>
    <t>SPDT 50mA @ 12VDC 12V On-On SMD Toggle Switches RoHS</t>
  </si>
  <si>
    <t>SS-3235D-03-L2</t>
  </si>
  <si>
    <t>XKB Connectivity</t>
  </si>
  <si>
    <t>IC</t>
  </si>
  <si>
    <t>U1</t>
  </si>
  <si>
    <t>RX TXRX MOD WIFI TRACE ANT SMD</t>
  </si>
  <si>
    <t>38-SMD Module</t>
  </si>
  <si>
    <t>ESP32-WROOM-32E-N16</t>
  </si>
  <si>
    <t>Espressif Systems</t>
  </si>
  <si>
    <t>U2</t>
  </si>
  <si>
    <t>DFN-6L-EP(2x2) USB PD ROHS</t>
  </si>
  <si>
    <t>DFN-6L-EP(2x2)</t>
  </si>
  <si>
    <t>HUSB237-AA001-DN06R</t>
  </si>
  <si>
    <t>Hynetek</t>
  </si>
  <si>
    <t>U3</t>
  </si>
  <si>
    <t>15V 1.3V @ 800mA Fixed 3.3V SOT-223 Linear Voltage Regulators (LDO) ROHS</t>
  </si>
  <si>
    <t>SOT- 223</t>
  </si>
  <si>
    <t>AZ1117CH-3.3TRG1</t>
  </si>
  <si>
    <t>Diodes Incorporated</t>
  </si>
  <si>
    <t>U4</t>
  </si>
  <si>
    <t>IC REG BUCK ADJ 15A 28VQFN</t>
  </si>
  <si>
    <t>VQFN-CLIP-28-EP(3.5x4.5)*</t>
  </si>
  <si>
    <t>TPS548A20RVER</t>
  </si>
  <si>
    <t>Texas Instruments</t>
  </si>
  <si>
    <t>Peripheral</t>
  </si>
  <si>
    <t>LCD</t>
  </si>
  <si>
    <t xml:space="preserve"> IPS ILI9488 No Touch</t>
  </si>
  <si>
    <t>USB cable and Adapter</t>
  </si>
  <si>
    <t>Charging cable and Adapter for 100watt USB PD support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</si>
</sst>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43"/>
  <sheetViews>
    <sheetView tabSelected="1" topLeftCell="A30" workbookViewId="0">
      <selection activeCell="E43" sqref="E43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24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5</v>
      </c>
      <c r="K3" s="9"/>
    </row>
    <row r="4" ht="15.75" spans="1:11">
      <c r="A4" s="2"/>
      <c r="B4" s="7">
        <f>ROW(B4)-ROW($B$2)</f>
        <v>2</v>
      </c>
      <c r="C4" s="8" t="s">
        <v>10</v>
      </c>
      <c r="D4" s="11" t="s">
        <v>17</v>
      </c>
      <c r="E4" s="12" t="s">
        <v>18</v>
      </c>
      <c r="F4" s="11" t="s">
        <v>19</v>
      </c>
      <c r="G4" s="12" t="s">
        <v>20</v>
      </c>
      <c r="H4" s="11" t="s">
        <v>21</v>
      </c>
      <c r="I4" s="12" t="s">
        <v>22</v>
      </c>
      <c r="J4" s="11">
        <v>7</v>
      </c>
      <c r="K4" s="11"/>
    </row>
    <row r="5" ht="36.75" spans="1:11">
      <c r="A5" s="2"/>
      <c r="B5" s="7">
        <f>ROW(B5)-ROW($B$2)</f>
        <v>3</v>
      </c>
      <c r="C5" s="13" t="s">
        <v>10</v>
      </c>
      <c r="D5" s="9" t="s">
        <v>23</v>
      </c>
      <c r="E5" s="10" t="s">
        <v>24</v>
      </c>
      <c r="F5" s="9" t="s">
        <v>19</v>
      </c>
      <c r="G5" s="10" t="s">
        <v>25</v>
      </c>
      <c r="H5" s="9" t="s">
        <v>26</v>
      </c>
      <c r="I5" s="10" t="s">
        <v>27</v>
      </c>
      <c r="J5" s="9">
        <v>1</v>
      </c>
      <c r="K5" s="9"/>
    </row>
    <row r="6" ht="15.75" spans="1:11">
      <c r="A6" s="2"/>
      <c r="B6" s="7">
        <f>ROW(B6)-ROW($B$2)</f>
        <v>4</v>
      </c>
      <c r="C6" s="8"/>
      <c r="D6" s="11" t="s">
        <v>28</v>
      </c>
      <c r="E6" s="12" t="s">
        <v>29</v>
      </c>
      <c r="F6" s="11" t="s">
        <v>30</v>
      </c>
      <c r="G6" s="12" t="s">
        <v>31</v>
      </c>
      <c r="H6" s="11" t="s">
        <v>32</v>
      </c>
      <c r="I6" s="12" t="s">
        <v>33</v>
      </c>
      <c r="J6" s="11">
        <v>1</v>
      </c>
      <c r="K6" s="11"/>
    </row>
    <row r="7" ht="15.75" spans="1:11">
      <c r="A7" s="2"/>
      <c r="B7" s="7">
        <f>ROW(B7)-ROW($B$2)</f>
        <v>5</v>
      </c>
      <c r="C7" s="13" t="s">
        <v>10</v>
      </c>
      <c r="D7" s="9" t="s">
        <v>34</v>
      </c>
      <c r="E7" s="10" t="s">
        <v>35</v>
      </c>
      <c r="F7" s="9" t="s">
        <v>36</v>
      </c>
      <c r="G7" s="10" t="s">
        <v>37</v>
      </c>
      <c r="H7" s="9" t="s">
        <v>38</v>
      </c>
      <c r="I7" s="10" t="s">
        <v>39</v>
      </c>
      <c r="J7" s="9">
        <v>5</v>
      </c>
      <c r="K7" s="9"/>
    </row>
    <row r="8" ht="24.75" spans="1:11">
      <c r="A8" s="2"/>
      <c r="B8" s="7">
        <f>ROW(B8)-ROW($B$2)</f>
        <v>6</v>
      </c>
      <c r="C8" s="8" t="s">
        <v>10</v>
      </c>
      <c r="D8" s="11" t="s">
        <v>40</v>
      </c>
      <c r="E8" s="12" t="s">
        <v>41</v>
      </c>
      <c r="F8" s="11" t="s">
        <v>13</v>
      </c>
      <c r="G8" s="12" t="s">
        <v>42</v>
      </c>
      <c r="H8" s="11" t="s">
        <v>43</v>
      </c>
      <c r="I8" s="12" t="s">
        <v>44</v>
      </c>
      <c r="J8" s="11">
        <v>1</v>
      </c>
      <c r="K8" s="11"/>
    </row>
    <row r="9" ht="15.75" spans="1:11">
      <c r="A9" s="2"/>
      <c r="B9" s="7">
        <f>ROW(B9)-ROW($B$2)</f>
        <v>7</v>
      </c>
      <c r="C9" s="13" t="s">
        <v>10</v>
      </c>
      <c r="D9" s="9" t="s">
        <v>45</v>
      </c>
      <c r="E9" s="10" t="s">
        <v>46</v>
      </c>
      <c r="F9" s="9" t="s">
        <v>30</v>
      </c>
      <c r="G9" s="10" t="s">
        <v>47</v>
      </c>
      <c r="H9" s="9" t="s">
        <v>15</v>
      </c>
      <c r="I9" s="10" t="s">
        <v>48</v>
      </c>
      <c r="J9" s="9">
        <v>2</v>
      </c>
      <c r="K9" s="9"/>
    </row>
    <row r="10" ht="15.75" spans="1:11">
      <c r="A10" s="2"/>
      <c r="B10" s="7">
        <f>ROW(B10)-ROW($B$2)</f>
        <v>8</v>
      </c>
      <c r="C10" s="8" t="s">
        <v>49</v>
      </c>
      <c r="D10" s="11" t="s">
        <v>50</v>
      </c>
      <c r="E10" s="12" t="s">
        <v>51</v>
      </c>
      <c r="F10" s="11" t="s">
        <v>52</v>
      </c>
      <c r="G10" s="12" t="s">
        <v>53</v>
      </c>
      <c r="H10" s="11" t="s">
        <v>43</v>
      </c>
      <c r="I10" s="12" t="s">
        <v>54</v>
      </c>
      <c r="J10" s="11">
        <v>5</v>
      </c>
      <c r="K10" s="11"/>
    </row>
    <row r="11" ht="15.75" spans="1:11">
      <c r="A11" s="2"/>
      <c r="B11" s="7">
        <f>ROW(B11)-ROW($B$2)</f>
        <v>9</v>
      </c>
      <c r="C11" s="13"/>
      <c r="D11" s="9" t="s">
        <v>55</v>
      </c>
      <c r="E11" s="10" t="s">
        <v>56</v>
      </c>
      <c r="F11" s="9" t="s">
        <v>19</v>
      </c>
      <c r="G11" s="10" t="s">
        <v>57</v>
      </c>
      <c r="H11" s="9" t="s">
        <v>15</v>
      </c>
      <c r="I11" s="10" t="s">
        <v>58</v>
      </c>
      <c r="J11" s="9">
        <v>1</v>
      </c>
      <c r="K11" s="9"/>
    </row>
    <row r="12" ht="24.75" spans="1:11">
      <c r="A12" s="2"/>
      <c r="B12" s="7">
        <f>ROW(B12)-ROW($B$2)</f>
        <v>10</v>
      </c>
      <c r="C12" s="8" t="s">
        <v>59</v>
      </c>
      <c r="D12" s="11" t="s">
        <v>60</v>
      </c>
      <c r="E12" s="12" t="s">
        <v>61</v>
      </c>
      <c r="F12" s="11" t="s">
        <v>62</v>
      </c>
      <c r="G12" s="12" t="s">
        <v>63</v>
      </c>
      <c r="H12" s="11" t="s">
        <v>64</v>
      </c>
      <c r="I12" s="12" t="s">
        <v>65</v>
      </c>
      <c r="J12" s="11">
        <v>1</v>
      </c>
      <c r="K12" s="11"/>
    </row>
    <row r="13" ht="24.75" spans="1:11">
      <c r="A13" s="2"/>
      <c r="B13" s="7">
        <f>ROW(B13)-ROW($B$2)</f>
        <v>11</v>
      </c>
      <c r="C13" s="13" t="s">
        <v>66</v>
      </c>
      <c r="D13" s="9" t="s">
        <v>67</v>
      </c>
      <c r="E13" s="10" t="s">
        <v>68</v>
      </c>
      <c r="F13" s="9" t="s">
        <v>69</v>
      </c>
      <c r="G13" s="10" t="s">
        <v>70</v>
      </c>
      <c r="H13" s="9" t="s">
        <v>71</v>
      </c>
      <c r="I13" s="10" t="s">
        <v>65</v>
      </c>
      <c r="J13" s="9">
        <v>3</v>
      </c>
      <c r="K13" s="9"/>
    </row>
    <row r="14" ht="24.75" spans="1:11">
      <c r="A14" s="2"/>
      <c r="B14" s="7">
        <f>ROW(B14)-ROW($B$2)</f>
        <v>12</v>
      </c>
      <c r="C14" s="8" t="s">
        <v>72</v>
      </c>
      <c r="D14" s="11" t="s">
        <v>73</v>
      </c>
      <c r="E14" s="12" t="s">
        <v>74</v>
      </c>
      <c r="F14" s="11" t="s">
        <v>75</v>
      </c>
      <c r="G14" s="12" t="s">
        <v>76</v>
      </c>
      <c r="H14" s="11" t="s">
        <v>77</v>
      </c>
      <c r="I14" s="10" t="s">
        <v>65</v>
      </c>
      <c r="J14" s="11">
        <v>1</v>
      </c>
      <c r="K14" s="11"/>
    </row>
    <row r="15" ht="72.75" spans="1:11">
      <c r="A15" s="2"/>
      <c r="B15" s="7">
        <f>ROW(B15)-ROW($B$2)</f>
        <v>13</v>
      </c>
      <c r="C15" s="13" t="s">
        <v>78</v>
      </c>
      <c r="D15" s="9" t="s">
        <v>79</v>
      </c>
      <c r="E15" s="10" t="s">
        <v>80</v>
      </c>
      <c r="F15" s="9" t="s">
        <v>81</v>
      </c>
      <c r="G15" s="10" t="s">
        <v>82</v>
      </c>
      <c r="H15" s="9" t="s">
        <v>83</v>
      </c>
      <c r="I15" s="10" t="s">
        <v>65</v>
      </c>
      <c r="J15" s="9">
        <v>1</v>
      </c>
      <c r="K15" s="9"/>
    </row>
    <row r="16" ht="24.75" spans="1:11">
      <c r="A16" s="2"/>
      <c r="B16" s="7">
        <f>ROW(B16)-ROW($B$2)</f>
        <v>14</v>
      </c>
      <c r="C16" s="8" t="s">
        <v>84</v>
      </c>
      <c r="D16" s="11" t="s">
        <v>85</v>
      </c>
      <c r="E16" s="12" t="s">
        <v>86</v>
      </c>
      <c r="F16" s="9" t="s">
        <v>81</v>
      </c>
      <c r="G16" s="12" t="s">
        <v>87</v>
      </c>
      <c r="H16" s="11" t="s">
        <v>88</v>
      </c>
      <c r="I16" s="10" t="s">
        <v>65</v>
      </c>
      <c r="J16" s="11">
        <v>1</v>
      </c>
      <c r="K16" s="11"/>
    </row>
    <row r="17" ht="24.75" spans="1:11">
      <c r="A17" s="2"/>
      <c r="B17" s="7">
        <f>ROW(B17)-ROW($B$2)</f>
        <v>15</v>
      </c>
      <c r="C17" s="13" t="s">
        <v>89</v>
      </c>
      <c r="D17" s="9" t="s">
        <v>90</v>
      </c>
      <c r="E17" s="10" t="s">
        <v>91</v>
      </c>
      <c r="F17" s="9" t="s">
        <v>81</v>
      </c>
      <c r="G17" s="10" t="s">
        <v>92</v>
      </c>
      <c r="H17" s="9" t="s">
        <v>93</v>
      </c>
      <c r="I17" s="10" t="s">
        <v>65</v>
      </c>
      <c r="J17" s="9">
        <v>1</v>
      </c>
      <c r="K17" s="9"/>
    </row>
    <row r="18" ht="24.75" spans="1:11">
      <c r="A18" s="2"/>
      <c r="B18" s="7">
        <f>ROW(B18)-ROW($B$2)</f>
        <v>16</v>
      </c>
      <c r="C18" s="8" t="s">
        <v>94</v>
      </c>
      <c r="D18" s="11" t="s">
        <v>95</v>
      </c>
      <c r="E18" s="12" t="s">
        <v>96</v>
      </c>
      <c r="F18" s="9" t="s">
        <v>81</v>
      </c>
      <c r="G18" s="12" t="s">
        <v>97</v>
      </c>
      <c r="H18" s="11" t="s">
        <v>98</v>
      </c>
      <c r="I18" s="12" t="s">
        <v>99</v>
      </c>
      <c r="J18" s="11">
        <v>1</v>
      </c>
      <c r="K18" s="11"/>
    </row>
    <row r="19" ht="409.5" spans="1:11">
      <c r="A19" s="2"/>
      <c r="B19" s="7">
        <f>ROW(B19)-ROW($B$2)</f>
        <v>17</v>
      </c>
      <c r="C19" s="13" t="s">
        <v>100</v>
      </c>
      <c r="D19" s="9" t="s">
        <v>101</v>
      </c>
      <c r="E19" s="10" t="s">
        <v>102</v>
      </c>
      <c r="F19" s="9" t="s">
        <v>103</v>
      </c>
      <c r="G19" s="10" t="s">
        <v>103</v>
      </c>
      <c r="H19" s="9" t="s">
        <v>104</v>
      </c>
      <c r="I19" s="10" t="s">
        <v>103</v>
      </c>
      <c r="J19" s="9">
        <v>190</v>
      </c>
      <c r="K19" s="9"/>
    </row>
    <row r="20" ht="24.75" spans="1:11">
      <c r="A20" s="2"/>
      <c r="B20" s="7">
        <f>ROW(B20)-ROW($B$2)</f>
        <v>18</v>
      </c>
      <c r="C20" s="8" t="s">
        <v>105</v>
      </c>
      <c r="D20" s="11" t="s">
        <v>106</v>
      </c>
      <c r="E20" s="12" t="s">
        <v>107</v>
      </c>
      <c r="F20" s="11" t="s">
        <v>108</v>
      </c>
      <c r="G20" s="12" t="s">
        <v>109</v>
      </c>
      <c r="H20" s="11" t="s">
        <v>110</v>
      </c>
      <c r="I20" s="12" t="s">
        <v>65</v>
      </c>
      <c r="J20" s="11">
        <v>1</v>
      </c>
      <c r="K20" s="11"/>
    </row>
    <row r="21" ht="24.75" spans="1:11">
      <c r="A21" s="2"/>
      <c r="B21" s="7">
        <f>ROW(B21)-ROW($B$2)</f>
        <v>19</v>
      </c>
      <c r="C21" s="13" t="s">
        <v>111</v>
      </c>
      <c r="D21" s="9" t="s">
        <v>112</v>
      </c>
      <c r="E21" s="10" t="s">
        <v>113</v>
      </c>
      <c r="F21" s="9" t="s">
        <v>114</v>
      </c>
      <c r="G21" s="10" t="s">
        <v>115</v>
      </c>
      <c r="H21" s="9" t="s">
        <v>116</v>
      </c>
      <c r="I21" s="10" t="s">
        <v>65</v>
      </c>
      <c r="J21" s="9">
        <v>1</v>
      </c>
      <c r="K21" s="9"/>
    </row>
    <row r="22" ht="15.75" spans="1:11">
      <c r="A22" s="2"/>
      <c r="B22" s="7">
        <f>ROW(B22)-ROW($B$2)</f>
        <v>20</v>
      </c>
      <c r="C22" s="8" t="s">
        <v>117</v>
      </c>
      <c r="D22" s="11" t="s">
        <v>118</v>
      </c>
      <c r="E22" s="12" t="s">
        <v>119</v>
      </c>
      <c r="F22" s="11" t="s">
        <v>120</v>
      </c>
      <c r="G22" s="12" t="s">
        <v>121</v>
      </c>
      <c r="H22" s="11" t="s">
        <v>122</v>
      </c>
      <c r="I22" s="12" t="s">
        <v>65</v>
      </c>
      <c r="J22" s="11">
        <v>1</v>
      </c>
      <c r="K22" s="11"/>
    </row>
    <row r="23" ht="15.75" spans="1:11">
      <c r="A23" s="2"/>
      <c r="B23" s="7">
        <f>ROW(B23)-ROW($B$2)</f>
        <v>21</v>
      </c>
      <c r="C23" s="13" t="s">
        <v>123</v>
      </c>
      <c r="D23" s="9" t="s">
        <v>124</v>
      </c>
      <c r="E23" s="10" t="s">
        <v>125</v>
      </c>
      <c r="F23" s="9" t="s">
        <v>126</v>
      </c>
      <c r="G23" s="10" t="s">
        <v>127</v>
      </c>
      <c r="H23" s="9" t="s">
        <v>15</v>
      </c>
      <c r="I23" s="10" t="s">
        <v>128</v>
      </c>
      <c r="J23" s="9">
        <v>10</v>
      </c>
      <c r="K23" s="9"/>
    </row>
    <row r="24" ht="15.75" spans="1:11">
      <c r="A24" s="2"/>
      <c r="B24" s="7">
        <f>ROW(B24)-ROW($B$2)</f>
        <v>22</v>
      </c>
      <c r="C24" s="8" t="s">
        <v>123</v>
      </c>
      <c r="D24" s="11" t="s">
        <v>129</v>
      </c>
      <c r="E24" s="12" t="s">
        <v>130</v>
      </c>
      <c r="F24" s="11" t="s">
        <v>126</v>
      </c>
      <c r="G24" s="12" t="s">
        <v>131</v>
      </c>
      <c r="H24" s="11" t="s">
        <v>15</v>
      </c>
      <c r="I24" s="12" t="s">
        <v>132</v>
      </c>
      <c r="J24" s="11">
        <v>1</v>
      </c>
      <c r="K24" s="11"/>
    </row>
    <row r="25" ht="24.75" spans="1:11">
      <c r="A25" s="2"/>
      <c r="B25" s="7">
        <f>ROW(B25)-ROW($B$2)</f>
        <v>23</v>
      </c>
      <c r="C25" s="8" t="s">
        <v>123</v>
      </c>
      <c r="D25" s="9" t="s">
        <v>133</v>
      </c>
      <c r="E25" s="10" t="s">
        <v>134</v>
      </c>
      <c r="F25" s="9" t="s">
        <v>135</v>
      </c>
      <c r="G25" s="10" t="s">
        <v>136</v>
      </c>
      <c r="H25" s="9" t="s">
        <v>15</v>
      </c>
      <c r="I25" s="10" t="s">
        <v>137</v>
      </c>
      <c r="J25" s="9">
        <v>2</v>
      </c>
      <c r="K25" s="9"/>
    </row>
    <row r="26" ht="15.75" spans="1:11">
      <c r="A26" s="2"/>
      <c r="B26" s="7">
        <f>ROW(B26)-ROW($B$2)</f>
        <v>24</v>
      </c>
      <c r="C26" s="8" t="s">
        <v>138</v>
      </c>
      <c r="D26" s="11" t="s">
        <v>139</v>
      </c>
      <c r="E26" s="12" t="s">
        <v>140</v>
      </c>
      <c r="F26" s="11" t="s">
        <v>135</v>
      </c>
      <c r="G26" s="12" t="s">
        <v>141</v>
      </c>
      <c r="H26" s="11" t="s">
        <v>15</v>
      </c>
      <c r="I26" s="12" t="s">
        <v>142</v>
      </c>
      <c r="J26" s="11">
        <v>1</v>
      </c>
      <c r="K26" s="11"/>
    </row>
    <row r="27" ht="15.75" spans="1:11">
      <c r="A27" s="2"/>
      <c r="B27" s="7">
        <f>ROW(B27)-ROW($B$2)</f>
        <v>25</v>
      </c>
      <c r="C27" s="13" t="s">
        <v>138</v>
      </c>
      <c r="D27" s="9" t="s">
        <v>143</v>
      </c>
      <c r="E27" s="10" t="s">
        <v>144</v>
      </c>
      <c r="F27" s="9" t="s">
        <v>135</v>
      </c>
      <c r="G27" s="10" t="s">
        <v>145</v>
      </c>
      <c r="H27" s="9" t="s">
        <v>15</v>
      </c>
      <c r="I27" s="10" t="s">
        <v>146</v>
      </c>
      <c r="J27" s="9">
        <v>1</v>
      </c>
      <c r="K27" s="9"/>
    </row>
    <row r="28" ht="15.75" spans="1:11">
      <c r="A28" s="2"/>
      <c r="B28" s="7">
        <f>ROW(B28)-ROW($B$2)</f>
        <v>26</v>
      </c>
      <c r="C28" s="8" t="s">
        <v>123</v>
      </c>
      <c r="D28" s="11" t="s">
        <v>147</v>
      </c>
      <c r="E28" s="12" t="s">
        <v>148</v>
      </c>
      <c r="F28" s="11" t="s">
        <v>135</v>
      </c>
      <c r="G28" s="12" t="s">
        <v>149</v>
      </c>
      <c r="H28" s="11" t="s">
        <v>15</v>
      </c>
      <c r="I28" s="12" t="s">
        <v>150</v>
      </c>
      <c r="J28" s="11">
        <v>1</v>
      </c>
      <c r="K28" s="11"/>
    </row>
    <row r="29" ht="15.75" spans="1:11">
      <c r="A29" s="2"/>
      <c r="B29" s="7">
        <f>ROW(B29)-ROW($B$2)</f>
        <v>27</v>
      </c>
      <c r="C29" s="13" t="s">
        <v>123</v>
      </c>
      <c r="D29" s="9" t="s">
        <v>151</v>
      </c>
      <c r="E29" s="10" t="s">
        <v>152</v>
      </c>
      <c r="F29" s="9" t="s">
        <v>135</v>
      </c>
      <c r="G29" s="10" t="s">
        <v>153</v>
      </c>
      <c r="H29" s="9" t="s">
        <v>15</v>
      </c>
      <c r="I29" s="10" t="s">
        <v>154</v>
      </c>
      <c r="J29" s="9">
        <v>1</v>
      </c>
      <c r="K29" s="9"/>
    </row>
    <row r="30" ht="24.75" spans="1:11">
      <c r="A30" s="2"/>
      <c r="B30" s="7">
        <f>ROW(B30)-ROW($B$2)</f>
        <v>28</v>
      </c>
      <c r="C30" s="8" t="s">
        <v>123</v>
      </c>
      <c r="D30" s="11" t="s">
        <v>155</v>
      </c>
      <c r="E30" s="12" t="s">
        <v>156</v>
      </c>
      <c r="F30" s="11" t="s">
        <v>157</v>
      </c>
      <c r="G30" s="12" t="s">
        <v>158</v>
      </c>
      <c r="H30" s="11" t="s">
        <v>159</v>
      </c>
      <c r="I30" s="12" t="s">
        <v>160</v>
      </c>
      <c r="J30" s="11">
        <v>1</v>
      </c>
      <c r="K30" s="11"/>
    </row>
    <row r="31" ht="15.75" spans="1:11">
      <c r="A31" s="2"/>
      <c r="B31" s="7">
        <f>ROW(B31)-ROW($B$2)</f>
        <v>29</v>
      </c>
      <c r="C31" s="13" t="s">
        <v>123</v>
      </c>
      <c r="D31" s="9" t="s">
        <v>161</v>
      </c>
      <c r="E31" s="10" t="s">
        <v>162</v>
      </c>
      <c r="F31" s="9" t="s">
        <v>135</v>
      </c>
      <c r="G31" s="10" t="s">
        <v>163</v>
      </c>
      <c r="H31" s="9" t="s">
        <v>164</v>
      </c>
      <c r="I31" s="10" t="s">
        <v>165</v>
      </c>
      <c r="J31" s="9">
        <v>2</v>
      </c>
      <c r="K31" s="9"/>
    </row>
    <row r="32" ht="15.75" spans="1:11">
      <c r="A32" s="2"/>
      <c r="B32" s="7">
        <f>ROW(B32)-ROW($B$2)</f>
        <v>30</v>
      </c>
      <c r="C32" s="8" t="s">
        <v>123</v>
      </c>
      <c r="D32" s="11" t="s">
        <v>166</v>
      </c>
      <c r="E32" s="12" t="s">
        <v>167</v>
      </c>
      <c r="F32" s="11" t="s">
        <v>135</v>
      </c>
      <c r="G32" s="12" t="s">
        <v>168</v>
      </c>
      <c r="H32" s="11" t="s">
        <v>15</v>
      </c>
      <c r="I32" s="12" t="s">
        <v>169</v>
      </c>
      <c r="J32" s="11">
        <v>1</v>
      </c>
      <c r="K32" s="11"/>
    </row>
    <row r="33" ht="36.75" spans="1:11">
      <c r="A33" s="2"/>
      <c r="B33" s="7">
        <f>ROW(B33)-ROW($B$2)</f>
        <v>31</v>
      </c>
      <c r="C33" s="13" t="s">
        <v>123</v>
      </c>
      <c r="D33" s="9" t="s">
        <v>170</v>
      </c>
      <c r="E33" s="10" t="s">
        <v>171</v>
      </c>
      <c r="F33" s="9" t="s">
        <v>126</v>
      </c>
      <c r="G33" s="10" t="s">
        <v>172</v>
      </c>
      <c r="H33" s="9" t="s">
        <v>173</v>
      </c>
      <c r="I33" s="10" t="s">
        <v>174</v>
      </c>
      <c r="J33" s="9">
        <v>1</v>
      </c>
      <c r="K33" s="9"/>
    </row>
    <row r="34" ht="15.75" spans="1:11">
      <c r="A34" s="2"/>
      <c r="B34" s="7">
        <f>ROW(B34)-ROW($B$2)</f>
        <v>32</v>
      </c>
      <c r="C34" s="8" t="s">
        <v>123</v>
      </c>
      <c r="D34" s="11" t="s">
        <v>175</v>
      </c>
      <c r="E34" s="12" t="s">
        <v>176</v>
      </c>
      <c r="F34" s="11" t="s">
        <v>135</v>
      </c>
      <c r="G34" s="12" t="s">
        <v>177</v>
      </c>
      <c r="H34" s="11" t="s">
        <v>164</v>
      </c>
      <c r="I34" s="12" t="s">
        <v>178</v>
      </c>
      <c r="J34" s="11">
        <v>1</v>
      </c>
      <c r="K34" s="11"/>
    </row>
    <row r="35" ht="15.75" spans="1:11">
      <c r="A35" s="2"/>
      <c r="B35" s="7">
        <f>ROW(B35)-ROW($B$2)</f>
        <v>33</v>
      </c>
      <c r="C35" s="13" t="s">
        <v>179</v>
      </c>
      <c r="D35" s="9" t="s">
        <v>180</v>
      </c>
      <c r="E35" s="10" t="s">
        <v>181</v>
      </c>
      <c r="F35" s="9" t="s">
        <v>81</v>
      </c>
      <c r="G35" s="10" t="s">
        <v>182</v>
      </c>
      <c r="H35" s="9" t="s">
        <v>183</v>
      </c>
      <c r="I35" s="10" t="s">
        <v>65</v>
      </c>
      <c r="J35" s="9">
        <v>2</v>
      </c>
      <c r="K35" s="9"/>
    </row>
    <row r="36" ht="36.75" spans="1:11">
      <c r="A36" s="2"/>
      <c r="B36" s="7">
        <f>ROW(B36)-ROW($B$2)</f>
        <v>34</v>
      </c>
      <c r="C36" s="8" t="s">
        <v>184</v>
      </c>
      <c r="D36" s="11" t="s">
        <v>185</v>
      </c>
      <c r="E36" s="12" t="s">
        <v>186</v>
      </c>
      <c r="F36" s="9" t="s">
        <v>81</v>
      </c>
      <c r="G36" s="12" t="s">
        <v>187</v>
      </c>
      <c r="H36" s="11" t="s">
        <v>188</v>
      </c>
      <c r="I36" s="12" t="s">
        <v>65</v>
      </c>
      <c r="J36" s="11">
        <v>1</v>
      </c>
      <c r="K36" s="11"/>
    </row>
    <row r="37" ht="24.75" spans="1:11">
      <c r="A37" s="2"/>
      <c r="B37" s="7">
        <f>ROW(B37)-ROW($B$2)</f>
        <v>35</v>
      </c>
      <c r="C37" s="8" t="s">
        <v>184</v>
      </c>
      <c r="D37" s="9" t="s">
        <v>189</v>
      </c>
      <c r="E37" s="10" t="s">
        <v>190</v>
      </c>
      <c r="F37" s="9" t="s">
        <v>81</v>
      </c>
      <c r="G37" s="10" t="s">
        <v>191</v>
      </c>
      <c r="H37" s="9" t="s">
        <v>192</v>
      </c>
      <c r="I37" s="10" t="s">
        <v>65</v>
      </c>
      <c r="J37" s="9">
        <v>1</v>
      </c>
      <c r="K37" s="9"/>
    </row>
    <row r="38" ht="15.75" spans="1:11">
      <c r="A38" s="2"/>
      <c r="B38" s="7">
        <f>ROW(B38)-ROW($B$2)</f>
        <v>36</v>
      </c>
      <c r="C38" s="8" t="s">
        <v>193</v>
      </c>
      <c r="D38" s="11" t="s">
        <v>194</v>
      </c>
      <c r="E38" s="12" t="s">
        <v>195</v>
      </c>
      <c r="F38" s="11" t="s">
        <v>196</v>
      </c>
      <c r="G38" s="12" t="s">
        <v>197</v>
      </c>
      <c r="H38" s="11" t="s">
        <v>198</v>
      </c>
      <c r="I38" s="12" t="s">
        <v>65</v>
      </c>
      <c r="J38" s="11">
        <v>1</v>
      </c>
      <c r="K38" s="11"/>
    </row>
    <row r="39" ht="15.75" spans="1:11">
      <c r="A39" s="2"/>
      <c r="B39" s="7">
        <f>ROW(B39)-ROW($B$2)</f>
        <v>37</v>
      </c>
      <c r="C39" s="13" t="s">
        <v>193</v>
      </c>
      <c r="D39" s="9" t="s">
        <v>199</v>
      </c>
      <c r="E39" s="10" t="s">
        <v>200</v>
      </c>
      <c r="F39" s="9" t="s">
        <v>201</v>
      </c>
      <c r="G39" s="10" t="s">
        <v>202</v>
      </c>
      <c r="H39" s="9" t="s">
        <v>203</v>
      </c>
      <c r="I39" s="10" t="s">
        <v>65</v>
      </c>
      <c r="J39" s="9">
        <v>1</v>
      </c>
      <c r="K39" s="9"/>
    </row>
    <row r="40" ht="24.75" spans="1:11">
      <c r="A40" s="2"/>
      <c r="B40" s="7">
        <f>ROW(B40)-ROW($B$2)</f>
        <v>38</v>
      </c>
      <c r="C40" s="8" t="s">
        <v>193</v>
      </c>
      <c r="D40" s="11" t="s">
        <v>204</v>
      </c>
      <c r="E40" s="12" t="s">
        <v>205</v>
      </c>
      <c r="F40" s="11" t="s">
        <v>206</v>
      </c>
      <c r="G40" s="12" t="s">
        <v>207</v>
      </c>
      <c r="H40" s="11" t="s">
        <v>208</v>
      </c>
      <c r="I40" s="12" t="s">
        <v>65</v>
      </c>
      <c r="J40" s="11">
        <v>1</v>
      </c>
      <c r="K40" s="11"/>
    </row>
    <row r="41" ht="15.75" spans="1:11">
      <c r="A41" s="2"/>
      <c r="B41" s="7">
        <f>ROW(B41)-ROW($B$2)</f>
        <v>39</v>
      </c>
      <c r="C41" s="13" t="s">
        <v>193</v>
      </c>
      <c r="D41" s="9" t="s">
        <v>209</v>
      </c>
      <c r="E41" s="10" t="s">
        <v>210</v>
      </c>
      <c r="F41" s="9" t="s">
        <v>211</v>
      </c>
      <c r="G41" s="10" t="s">
        <v>212</v>
      </c>
      <c r="H41" s="9" t="s">
        <v>213</v>
      </c>
      <c r="I41" s="10" t="s">
        <v>65</v>
      </c>
      <c r="J41" s="9">
        <v>1</v>
      </c>
      <c r="K41" s="9"/>
    </row>
    <row r="42" ht="15.75" spans="1:11">
      <c r="A42" s="2"/>
      <c r="B42" s="7">
        <f>ROW(B42)-ROW($B$2)</f>
        <v>40</v>
      </c>
      <c r="C42" s="13" t="s">
        <v>214</v>
      </c>
      <c r="D42" s="9" t="s">
        <v>215</v>
      </c>
      <c r="E42" s="10" t="s">
        <v>216</v>
      </c>
      <c r="F42" s="9" t="s">
        <v>81</v>
      </c>
      <c r="G42" s="10" t="s">
        <v>65</v>
      </c>
      <c r="H42" s="9" t="s">
        <v>65</v>
      </c>
      <c r="I42" s="10" t="s">
        <v>65</v>
      </c>
      <c r="J42" s="9">
        <v>1</v>
      </c>
      <c r="K42" s="9"/>
    </row>
    <row r="43" ht="24.75" spans="1:11">
      <c r="A43" s="2"/>
      <c r="B43" s="7">
        <f>ROW(B43)-ROW($B$2)</f>
        <v>41</v>
      </c>
      <c r="C43" s="13" t="s">
        <v>214</v>
      </c>
      <c r="D43" s="9" t="s">
        <v>217</v>
      </c>
      <c r="E43" s="10" t="s">
        <v>218</v>
      </c>
      <c r="F43" s="9" t="s">
        <v>65</v>
      </c>
      <c r="G43" s="10" t="s">
        <v>65</v>
      </c>
      <c r="H43" s="9" t="s">
        <v>65</v>
      </c>
      <c r="I43" s="10" t="s">
        <v>65</v>
      </c>
      <c r="J43" s="9">
        <v>1</v>
      </c>
      <c r="K43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2025-03-20T08:15:52Z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C71108A6AC4E4F5BA049A9E9D8B3B3A6_13</vt:lpwstr>
  </property>
  <property fmtid="{D5CDD505-2E9C-101B-9397-08002B2CF9AE}" pid="3" name="KSOProductBuildVer">
    <vt:lpwstr>1033-12.2.0.20326</vt:lpwstr>
  </property>
</Properties>
</file>